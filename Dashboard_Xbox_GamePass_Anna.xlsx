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sktop\Documents\"/>
    </mc:Choice>
  </mc:AlternateContent>
  <xr:revisionPtr revIDLastSave="0" documentId="8_{564534D1-48F9-470E-81E6-DD1C4CA34160}" xr6:coauthVersionLast="47" xr6:coauthVersionMax="47" xr10:uidLastSave="{00000000-0000-0000-0000-000000000000}"/>
  <bookViews>
    <workbookView xWindow="-120" yWindow="-120" windowWidth="21840" windowHeight="13020" firstSheet="5" activeTab="5" xr2:uid="{28DD5B76-0634-4F87-BE60-8BFA7EF2E23B}"/>
  </bookViews>
  <sheets>
    <sheet name="A̳ssets" sheetId="1" state="hidden" r:id="rId1"/>
    <sheet name="B̳ases" sheetId="2" state="hidden" r:id="rId2"/>
    <sheet name="Planilha2" sheetId="6" state="hidden" r:id="rId3"/>
    <sheet name="Gráfico1" sheetId="7" state="hidden" r:id="rId4"/>
    <sheet name="Cálculos" sheetId="5" state="hidden" r:id="rId5"/>
    <sheet name="D̳ashboard" sheetId="4" r:id="rId6"/>
  </sheets>
  <definedNames>
    <definedName name="SegmentaçãodeDados_Auto_Renewal">#N/A</definedName>
    <definedName name="SegmentaçãodeDados_Subscription_Type">#N/A</definedName>
  </definedNames>
  <calcPr calcId="191029"/>
  <pivotCaches>
    <pivotCache cacheId="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5" l="1"/>
  <c r="F9" i="5"/>
  <c r="D9" i="5"/>
  <c r="G4" i="5"/>
  <c r="H4" i="5"/>
  <c r="I4" i="5"/>
  <c r="G5" i="5"/>
  <c r="H5" i="5"/>
  <c r="I5" i="5"/>
  <c r="G6" i="5"/>
  <c r="H6" i="5"/>
  <c r="I6" i="5"/>
  <c r="N5" i="5"/>
  <c r="N4" i="5"/>
  <c r="D5" i="6"/>
  <c r="D4" i="6"/>
  <c r="M8" i="5" l="1"/>
</calcChain>
</file>

<file path=xl/sharedStrings.xml><?xml version="1.0" encoding="utf-8"?>
<sst xmlns="http://schemas.openxmlformats.org/spreadsheetml/2006/main" count="2019" uniqueCount="325">
  <si>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</si>
  <si>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</si>
  <si>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</si>
  <si>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</si>
  <si>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</si>
  <si>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</si>
  <si>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</si>
  <si>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</si>
  <si>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</si>
  <si>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</si>
  <si>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</si>
  <si>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</si>
  <si>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</si>
  <si>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</si>
  <si>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</si>
  <si>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</si>
  <si>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</si>
  <si>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</si>
  <si>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</si>
  <si>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</si>
  <si>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</si>
  <si>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</si>
  <si>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</si>
  <si>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</si>
  <si>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</si>
  <si>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</si>
  <si>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</si>
  <si>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</si>
  <si>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</si>
  <si>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</si>
  <si>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</si>
  <si>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</si>
  <si>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</si>
  <si>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</si>
  <si>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</si>
  <si>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</si>
  <si>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</si>
  <si>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</si>
  <si>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</si>
  <si>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</si>
  <si>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</si>
  <si>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</si>
  <si>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</si>
  <si>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</si>
  <si>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</si>
  <si>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</si>
  <si>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</si>
  <si>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</si>
  <si>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</si>
  <si>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</si>
  <si>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</si>
  <si>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</si>
  <si>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</si>
  <si>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</si>
  <si>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</si>
  <si>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</si>
  <si>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</si>
  <si>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</si>
  <si>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</si>
  <si>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</si>
  <si>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</si>
  <si>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</si>
  <si>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</si>
  <si>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</si>
  <si>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</si>
  <si>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</si>
  <si>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</si>
  <si>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</si>
  <si>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</si>
  <si>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</si>
  <si>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</si>
  <si>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</si>
  <si>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</si>
  <si>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</si>
  <si>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</si>
  <si>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</si>
  <si>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</si>
  <si>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</si>
  <si>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</si>
  <si>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</si>
  <si>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</si>
  <si>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</si>
  <si>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</si>
  <si>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</si>
  <si>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</si>
  <si>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</si>
  <si>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</si>
  <si>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</si>
  <si>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</si>
  <si>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</si>
  <si>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</si>
  <si>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</si>
  <si>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</si>
  <si>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</si>
  <si>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</si>
  <si>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</si>
  <si>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</si>
  <si>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</si>
  <si>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</si>
  <si>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</si>
  <si>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</si>
  <si>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</si>
  <si>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</si>
  <si>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</si>
  <si>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</si>
  <si>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</si>
  <si>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</si>
  <si>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</si>
  <si>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</si>
  <si>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</si>
  <si>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</si>
  <si>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</si>
  <si>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</si>
  <si>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</si>
  <si>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</si>
  <si>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</si>
  <si>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</si>
  <si>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</si>
  <si>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</si>
  <si>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</si>
  <si>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</si>
  <si>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</si>
  <si>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</si>
  <si>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</si>
  <si>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</si>
  <si>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</si>
  <si>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</si>
  <si>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</si>
  <si>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</si>
  <si>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</si>
  <si>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</si>
  <si>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</si>
  <si>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</si>
  <si>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</si>
  <si>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</si>
  <si>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</si>
  <si>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</si>
  <si>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</si>
  <si>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</si>
  <si>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</si>
  <si>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</si>
  <si>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</si>
  <si>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</si>
  <si>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</si>
  <si>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</si>
  <si>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</si>
  <si>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</si>
  <si>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</si>
  <si>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</si>
  <si>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</si>
  <si>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</si>
  <si>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</si>
  <si>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</si>
  <si>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</si>
  <si>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</si>
  <si>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</si>
  <si>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</si>
  <si>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</si>
  <si>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</si>
  <si>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</si>
  <si>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</si>
  <si>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</si>
  <si>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</si>
  <si>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</si>
  <si>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</si>
  <si>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</si>
  <si>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</si>
  <si>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</si>
  <si>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</si>
  <si>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</si>
  <si>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</si>
  <si>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</si>
  <si>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</si>
  <si>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</si>
  <si>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</si>
  <si>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</si>
  <si>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</si>
  <si>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</si>
  <si>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</si>
  <si>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</si>
  <si>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</si>
  <si>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</si>
  <si>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</si>
  <si>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</si>
  <si>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</si>
  <si>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</si>
  <si>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</si>
  <si>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</si>
  <si>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</si>
  <si>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</si>
  <si>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</si>
  <si>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</si>
  <si>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</si>
  <si>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</si>
  <si>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</si>
  <si>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</si>
  <si>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</si>
  <si>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</si>
  <si>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</si>
  <si>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</si>
  <si>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</si>
  <si>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</si>
  <si>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</si>
  <si>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</si>
  <si>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</si>
  <si>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</si>
  <si>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</si>
  <si>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</si>
  <si>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</si>
  <si>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</si>
  <si>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</si>
  <si>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</si>
  <si>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</si>
  <si>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</si>
  <si>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</si>
  <si>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</si>
  <si>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</si>
  <si>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</si>
  <si>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</si>
  <si>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</si>
  <si>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</si>
  <si>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</si>
  <si>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</si>
  <si>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</si>
  <si>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</si>
  <si>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</si>
  <si>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</si>
  <si>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</si>
  <si>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</si>
  <si>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</si>
  <si>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</si>
  <si>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</si>
  <si>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</si>
  <si>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</si>
  <si>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</si>
  <si>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</si>
  <si>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</si>
  <si>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</si>
  <si>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</si>
  <si>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</si>
  <si>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</si>
  <si>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</si>
  <si>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</si>
  <si>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</si>
  <si>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</si>
  <si>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</si>
  <si>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</si>
  <si>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</si>
  <si>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</si>
  <si>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</si>
  <si>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</si>
  <si>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</si>
  <si>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</si>
  <si>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</si>
  <si>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</si>
  <si>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</si>
  <si>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</si>
  <si>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</si>
  <si>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</si>
  <si>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</si>
  <si>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</si>
  <si>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</si>
  <si>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</si>
  <si>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</si>
  <si>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</si>
  <si>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</si>
  <si>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</si>
  <si>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</si>
  <si>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</si>
  <si>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</si>
  <si>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</si>
  <si>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</si>
  <si>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</si>
  <si>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</si>
  <si>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</si>
  <si>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</si>
  <si>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</si>
  <si>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</si>
  <si>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</si>
  <si>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</si>
  <si>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</si>
  <si>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</si>
  <si>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</si>
  <si>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</si>
  <si>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</si>
  <si>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</si>
  <si>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</si>
  <si>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</si>
  <si>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</si>
  <si>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</si>
  <si>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</si>
  <si>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</si>
  <si>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</si>
  <si>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</si>
  <si>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</si>
  <si>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</si>
  <si>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</si>
  <si>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</si>
  <si>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</si>
  <si>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</si>
  <si>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</si>
  <si>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</si>
  <si>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</si>
  <si>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</si>
  <si>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</si>
  <si>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</si>
  <si>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</si>
  <si>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</si>
  <si>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</si>
  <si>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</si>
  <si>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</si>
  <si>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</si>
  <si>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</si>
  <si>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</si>
  <si>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</si>
  <si>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PLANO</t>
  </si>
  <si>
    <t>QTD DE ASSINANTES</t>
  </si>
  <si>
    <t>RECEITA TOTAL</t>
  </si>
  <si>
    <t>TICKET MÉDIO</t>
  </si>
  <si>
    <t>DISTRIBUIÇÃO DE PLANOS</t>
  </si>
  <si>
    <t>Plano</t>
  </si>
  <si>
    <t>Qtd Assinantes</t>
  </si>
  <si>
    <t>Receita Total</t>
  </si>
  <si>
    <t>Ticket Médio</t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</si>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</sst>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name val="Aptos"/>
      <family val="2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left" vertical="center" wrapText="1" indent="1" readingOrder="1"/>
    </xf>
    <xf numFmtId="44" fontId="7" fillId="0" borderId="2" xfId="0" applyNumberFormat="1" applyFont="1" applyBorder="1" applyAlignment="1">
      <alignment horizontal="left" vertical="center" wrapText="1" indent="1" readingOrder="1"/>
    </xf>
    <xf numFmtId="44" fontId="7" fillId="0" borderId="2" xfId="0" applyNumberFormat="1" applyFont="1" applyBorder="1" applyAlignment="1">
      <alignment vertical="center" wrapText="1" readingOrder="1"/>
    </xf>
    <xf numFmtId="10" fontId="0" fillId="0" borderId="0" xfId="0" applyNumberFormat="1"/>
    <xf numFmtId="0" fontId="0" fillId="4" borderId="0" xfId="0" applyFill="1" applyAlignment="1">
      <alignment horizontal="justify"/>
    </xf>
    <xf numFmtId="0" fontId="0" fillId="0" borderId="0" xfId="0" applyAlignment="1">
      <alignment horizontal="justify"/>
    </xf>
    <xf numFmtId="0" fontId="0" fillId="8" borderId="0" xfId="0" applyFill="1" applyAlignment="1">
      <alignment horizontal="justify"/>
    </xf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20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fgColor theme="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gradientFill degree="90">
          <stop position="0">
            <color theme="9"/>
          </stop>
          <stop position="1">
            <color theme="9"/>
          </stop>
        </gradientFill>
      </fill>
    </dxf>
    <dxf>
      <fill>
        <patternFill>
          <bgColor theme="9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1" defaultTableStyle="TableStyleMedium2" defaultPivotStyle="PivotStyleLight16">
    <tableStyle name="Estilo de Segmentação de Dados 1" pivot="0" table="0" count="1" xr9:uid="{D375A350-2FFC-4ACB-A555-C038624FC89F}">
      <tableStyleElement type="wholeTable" dxfId="186"/>
    </tableStyle>
    <tableStyle name="Estilo de Segmentação de Dados 2" pivot="0" table="0" count="1" xr9:uid="{19A3BBBF-87E5-4F97-8677-FBE68D2C9979}">
      <tableStyleElement type="wholeTable" dxfId="185"/>
    </tableStyle>
    <tableStyle name="Estilo de Segmentação de Dados 3" pivot="0" table="0" count="1" xr9:uid="{5AF9FFD7-778B-4BAD-A246-47D1A2C5E88E}">
      <tableStyleElement type="wholeTable" dxfId="176"/>
    </tableStyle>
    <tableStyle name="SlicerStyleDark6 2" pivot="0" table="0" count="10" xr9:uid="{216663EC-EE02-4103-B38D-6F0BA1DE40C3}">
      <tableStyleElement type="wholeTable" dxfId="167"/>
      <tableStyleElement type="headerRow" dxfId="166"/>
    </tableStyle>
    <tableStyle name="SlicerStyleDark6 3" pivot="0" table="0" count="10" xr9:uid="{0F541946-5456-4160-B00E-187834BE118E}">
      <tableStyleElement type="wholeTable" dxfId="61"/>
      <tableStyleElement type="headerRow" dxfId="60"/>
    </tableStyle>
    <tableStyle name="SlicerStyleDark6 4" pivot="0" table="0" count="10" xr9:uid="{D58B38BB-3FE3-4852-86B0-AABE72A3D3CA}">
      <tableStyleElement type="wholeTable" dxfId="165"/>
      <tableStyleElement type="headerRow" dxfId="164"/>
    </tableStyle>
    <tableStyle name="SlicerStyleDark6 5" pivot="0" table="0" count="10" xr9:uid="{540A4D8D-4A3C-4094-918C-EAFAE242D838}">
      <tableStyleElement type="wholeTable" dxfId="163"/>
      <tableStyleElement type="headerRow" dxfId="162"/>
    </tableStyle>
    <tableStyle name="SlicerStyleDark6 6" pivot="0" table="0" count="10" xr9:uid="{FC87C333-106E-4F28-875B-9C4F0691892C}">
      <tableStyleElement type="wholeTable" dxfId="161"/>
      <tableStyleElement type="headerRow" dxfId="160"/>
    </tableStyle>
    <tableStyle name="SlicerStyleDark6 7" pivot="0" table="0" count="10" xr9:uid="{67AD049A-04D9-4358-A1FD-E65051F2D78C}">
      <tableStyleElement type="wholeTable" dxfId="63"/>
      <tableStyleElement type="headerRow" dxfId="62"/>
    </tableStyle>
    <tableStyle name="SlicerStyleDark6 8" pivot="0" table="0" count="10" xr9:uid="{8A13ABDF-4902-4DEE-8D8B-F85199902927}">
      <tableStyleElement type="wholeTable" dxfId="59"/>
      <tableStyleElement type="headerRow" dxfId="58"/>
    </tableStyle>
    <tableStyle name="SlicerStyleDark6 9" pivot="0" table="0" count="10" xr9:uid="{CCF30EF7-9329-47AE-8746-ED69DE9AB0A5}">
      <tableStyleElement type="wholeTable" dxfId="57"/>
      <tableStyleElement type="headerRow" dxfId="56"/>
    </tableStyle>
  </tableStyles>
  <colors>
    <mruColors>
      <color rgb="FF9BC848"/>
      <color rgb="FF22C55E"/>
      <color rgb="FFE8E6E9"/>
      <color rgb="FFE0E0E0"/>
      <color rgb="FF5BF6A8"/>
      <color rgb="FF00000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7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none">
              <fgColor indexed="64"/>
              <bgColor auto="1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SlicerStyleDark6 2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SlicerStyleDark6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6 4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Dark6 5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Dark6 6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Dark6 7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6 8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9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63952"/>
        <c:axId val="477175952"/>
      </c:barChart>
      <c:catAx>
        <c:axId val="47716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175952"/>
        <c:crosses val="autoZero"/>
        <c:auto val="1"/>
        <c:lblAlgn val="ctr"/>
        <c:lblOffset val="100"/>
        <c:noMultiLvlLbl val="0"/>
      </c:catAx>
      <c:valAx>
        <c:axId val="4771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16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Cálculos!$G$3</c:f>
              <c:strCache>
                <c:ptCount val="1"/>
                <c:pt idx="0">
                  <c:v>Qtd Assinantes</c:v>
                </c:pt>
              </c:strCache>
            </c:strRef>
          </c:tx>
          <c:dPt>
            <c:idx val="0"/>
            <c:bubble3D val="0"/>
            <c:spPr>
              <a:solidFill>
                <a:srgbClr val="E8E6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23-48BB-9A96-F6AB5E1B8EEC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B23-48BB-9A96-F6AB5E1B8EEC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23-48BB-9A96-F6AB5E1B8EEC}"/>
              </c:ext>
            </c:extLst>
          </c:dPt>
          <c:dLbls>
            <c:dLbl>
              <c:idx val="0"/>
              <c:layout>
                <c:manualLayout>
                  <c:x val="0.12847215387139108"/>
                  <c:y val="-3.45412483816881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A8AEF8-0933-433F-A37B-52E62904DC4C}" type="CATEGORYNAME">
                      <a:rPr lang="en-US" b="1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r>
                      <a:rPr lang="en-US" b="1">
                        <a:solidFill>
                          <a:schemeClr val="bg1"/>
                        </a:solidFill>
                      </a:rPr>
                      <a:t>: </a:t>
                    </a:r>
                    <a:r>
                      <a:rPr lang="en-US" b="1" baseline="0">
                        <a:solidFill>
                          <a:schemeClr val="bg1"/>
                        </a:solidFill>
                      </a:rPr>
                      <a:t> </a:t>
                    </a:r>
                    <a:fld id="{A93A9C36-9597-49D7-895C-99D08AFC11E2}" type="VALU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051CBAB6-75F3-45B6-B0BA-5D6630F17BB0}" type="PERCENTAG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454416830708662"/>
                      <c:h val="0.122138506271621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B23-48BB-9A96-F6AB5E1B8EEC}"/>
                </c:ext>
              </c:extLst>
            </c:dLbl>
            <c:dLbl>
              <c:idx val="1"/>
              <c:layout>
                <c:manualLayout>
                  <c:x val="3.8020737642169677E-2"/>
                  <c:y val="9.49076215763444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CFA71F-DA82-4930-8DAE-DEBF6D411852}" type="CATEGORYNAME">
                      <a:rPr lang="en-US" b="1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r>
                      <a:rPr lang="en-US" b="1">
                        <a:solidFill>
                          <a:schemeClr val="bg1"/>
                        </a:solidFill>
                      </a:rPr>
                      <a:t>:</a:t>
                    </a:r>
                    <a:r>
                      <a:rPr lang="en-US" b="1" baseline="0">
                        <a:solidFill>
                          <a:schemeClr val="bg1"/>
                        </a:solidFill>
                      </a:rPr>
                      <a:t> </a:t>
                    </a:r>
                    <a:fld id="{B03E0E99-7BF2-4C58-9922-54CCD7127979}" type="VALU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E8075468-AE2E-4A9A-A1D2-EF970A6EA117}" type="PERCENTAG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69861384514435"/>
                      <c:h val="0.101713026763070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B23-48BB-9A96-F6AB5E1B8EEC}"/>
                </c:ext>
              </c:extLst>
            </c:dLbl>
            <c:dLbl>
              <c:idx val="2"/>
              <c:layout>
                <c:manualLayout>
                  <c:x val="-0.15381941026902887"/>
                  <c:y val="-6.05222460399997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2EA668-B177-4EB5-BF0D-ADE4A320AC35}" type="CATEGORYNAME">
                      <a:rPr lang="en-US" b="1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: </a:t>
                    </a:r>
                    <a:fld id="{A8540B06-21FB-4B6F-8DBC-3C158D6C74D8}" type="VALU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r>
                      <a:rPr lang="en-US" b="1" baseline="0">
                        <a:solidFill>
                          <a:schemeClr val="bg1"/>
                        </a:solidFill>
                      </a:rPr>
                      <a:t>, </a:t>
                    </a:r>
                    <a:fld id="{0521F03B-61EF-476C-9F78-D1FE1FDB739C}" type="PERCENTAGE">
                      <a:rPr lang="en-US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en-US" b="1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628916502624669"/>
                      <c:h val="0.1329201774306513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B23-48BB-9A96-F6AB5E1B8E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Cálculos!$F$4:$F$6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Cálculos!$G$4:$G$6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3-48BB-9A96-F6AB5E1B8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[Dashboard_Xbox_GamePass_Anna.xlsx]Cálculos!Tabela dinâmica1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QTD DE ASSINANTES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Cálculos!$B$4:$B$7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6-43FA-A676-46666FA772BE}"/>
            </c:ext>
          </c:extLst>
        </c:ser>
        <c:ser>
          <c:idx val="1"/>
          <c:order val="1"/>
          <c:tx>
            <c:strRef>
              <c:f>Cálculos!$C$3</c:f>
              <c:strCache>
                <c:ptCount val="1"/>
                <c:pt idx="0">
                  <c:v>RECEITA 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Cálculos!$C$4:$C$7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6-43FA-A676-46666FA772BE}"/>
            </c:ext>
          </c:extLst>
        </c:ser>
        <c:ser>
          <c:idx val="2"/>
          <c:order val="2"/>
          <c:tx>
            <c:strRef>
              <c:f>Cálculos!$D$3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Cálculos!$D$4:$D$7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6-43FA-A676-46666FA7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491744"/>
        <c:axId val="252492704"/>
      </c:barChart>
      <c:catAx>
        <c:axId val="252491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2492704"/>
        <c:crosses val="autoZero"/>
        <c:auto val="1"/>
        <c:lblAlgn val="ctr"/>
        <c:lblOffset val="100"/>
        <c:noMultiLvlLbl val="0"/>
      </c:catAx>
      <c:valAx>
        <c:axId val="25249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24917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Cálculos!$G$3</c:f>
              <c:strCache>
                <c:ptCount val="1"/>
                <c:pt idx="0">
                  <c:v>Qtd Assinantes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0D-410E-A126-91DC03033BC7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D-410E-A126-91DC03033BC7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0D-410E-A126-91DC03033BC7}"/>
              </c:ext>
            </c:extLst>
          </c:dPt>
          <c:dLbls>
            <c:dLbl>
              <c:idx val="0"/>
              <c:layout>
                <c:manualLayout>
                  <c:x val="0.10948023772343626"/>
                  <c:y val="-2.11881330371900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F4891A-09F2-436F-BD4F-0383B1242994}" type="CATEGORYNAM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34CC38D1-3A55-4B48-9726-2ADEDDC6AB2A}" type="VALU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14165822-2909-4508-AF8F-A4C0B9A9F393}" type="PERCENTAG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63578546827866"/>
                      <c:h val="0.2150796431968435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E0D-410E-A126-91DC03033BC7}"/>
                </c:ext>
              </c:extLst>
            </c:dLbl>
            <c:dLbl>
              <c:idx val="1"/>
              <c:layout>
                <c:manualLayout>
                  <c:x val="0.22675000335029166"/>
                  <c:y val="7.76277595915155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F73388-1D66-463B-98A4-5099F86E1725}" type="CATEGORYNAM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F7A0660F-C7C5-4C30-8099-577379332F09}" type="VALU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D96B66A8-9402-4F0C-8ACF-27151FED3B78}" type="PERCENTAG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698618366206664"/>
                      <c:h val="0.156208144028982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E0D-410E-A126-91DC03033BC7}"/>
                </c:ext>
              </c:extLst>
            </c:dLbl>
            <c:dLbl>
              <c:idx val="2"/>
              <c:layout>
                <c:manualLayout>
                  <c:x val="-9.7249881479281861E-2"/>
                  <c:y val="-7.55873143006026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D359B36-052A-4926-BFAD-C553C0CE6D2A}" type="CATEGORYNAM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[NOME DA CATEGORIA]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B4475884-7A79-485A-A964-11DAC3EA354A}" type="VALU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[VALOR]</a:t>
                    </a:fld>
                    <a:endParaRPr lang="en-US" sz="1600" b="1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b="1"/>
                    </a:pPr>
                    <a:fld id="{29BBFF74-D0B6-4C69-9180-72DBD92B3182}" type="PERCENTAGE">
                      <a:rPr lang="en-US" sz="1600" b="1" baseline="0">
                        <a:solidFill>
                          <a:schemeClr val="bg1"/>
                        </a:solidFill>
                      </a:rPr>
                      <a:pPr>
                        <a:defRPr b="1"/>
                      </a:pPr>
                      <a:t>[PORCENTAGEM]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628915048144024"/>
                      <c:h val="0.207813737783774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E0D-410E-A126-91DC03033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Cálculos!$F$4:$F$6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Cálculos!$G$4:$G$6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0D-410E-A126-91DC03033B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[Dashboard_Xbox_GamePass_Anna.xlsx]Cálculos!Tabela dinâmica1</c:name>
    <c:fmtId val="4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666665108600614E-2"/>
          <c:y val="0.10484870716036657"/>
          <c:w val="0.77647882135419122"/>
          <c:h val="0.86516768118558285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Cálculos!$C$3</c:f>
              <c:strCache>
                <c:ptCount val="1"/>
                <c:pt idx="0">
                  <c:v>RECEITA 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Cálculos!$C$4:$C$7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6-42AD-8F2E-B77BB7E340D5}"/>
            </c:ext>
          </c:extLst>
        </c:ser>
        <c:ser>
          <c:idx val="0"/>
          <c:order val="0"/>
          <c:tx>
            <c:strRef>
              <c:f>Cálculos!$B$3</c:f>
              <c:strCache>
                <c:ptCount val="1"/>
                <c:pt idx="0">
                  <c:v>QTD DE ASSINANTES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Cálculos!$B$4:$B$7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2AD-8F2E-B77BB7E340D5}"/>
            </c:ext>
          </c:extLst>
        </c:ser>
        <c:ser>
          <c:idx val="2"/>
          <c:order val="2"/>
          <c:tx>
            <c:strRef>
              <c:f>Cálculos!$D$3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Cálculos!$D$4:$D$7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6-42AD-8F2E-B77BB7E34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52491744"/>
        <c:axId val="252492704"/>
      </c:barChart>
      <c:catAx>
        <c:axId val="252491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2492704"/>
        <c:crosses val="autoZero"/>
        <c:auto val="1"/>
        <c:lblAlgn val="ctr"/>
        <c:lblOffset val="100"/>
        <c:noMultiLvlLbl val="0"/>
      </c:catAx>
      <c:valAx>
        <c:axId val="2524927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524917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7812318753901009"/>
          <c:y val="0.19049012132239143"/>
          <c:w val="0.11074634773518134"/>
          <c:h val="0.67722779845534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94940A-8B71-44C2-8F12-681CF7D1E17A}">
  <sheetPr>
    <tabColor theme="3" tint="0.749992370372631"/>
  </sheetPr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37661" cy="60017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334BDB-A543-16B2-3DE2-7BB72480FC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179973</xdr:colOff>
      <xdr:row>10</xdr:row>
      <xdr:rowOff>134351</xdr:rowOff>
    </xdr:from>
    <xdr:to>
      <xdr:col>3</xdr:col>
      <xdr:colOff>645695</xdr:colOff>
      <xdr:row>30</xdr:row>
      <xdr:rowOff>172452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09F481-97B9-EB48-9D48-D5A2B779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672264</xdr:colOff>
      <xdr:row>9</xdr:row>
      <xdr:rowOff>77203</xdr:rowOff>
    </xdr:from>
    <xdr:to>
      <xdr:col>3</xdr:col>
      <xdr:colOff>33086</xdr:colOff>
      <xdr:row>11</xdr:row>
      <xdr:rowOff>124828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3FBF70B-3228-666F-5E46-AD730DD06018}"/>
            </a:ext>
          </a:extLst>
        </xdr:cNvPr>
        <xdr:cNvSpPr txBox="1"/>
      </xdr:nvSpPr>
      <xdr:spPr>
        <a:xfrm>
          <a:off x="672264" y="1992229"/>
          <a:ext cx="3772401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9BC848"/>
              </a:solidFill>
            </a:rPr>
            <a:t>MARKET SHARE POR PLANO</a:t>
          </a:r>
        </a:p>
      </xdr:txBody>
    </xdr:sp>
    <xdr:clientData/>
  </xdr:twoCellAnchor>
  <xdr:twoCellAnchor>
    <xdr:from>
      <xdr:col>4</xdr:col>
      <xdr:colOff>431131</xdr:colOff>
      <xdr:row>9</xdr:row>
      <xdr:rowOff>67176</xdr:rowOff>
    </xdr:from>
    <xdr:to>
      <xdr:col>15</xdr:col>
      <xdr:colOff>30079</xdr:colOff>
      <xdr:row>31</xdr:row>
      <xdr:rowOff>130343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3F19926-8D1D-0B89-EA44-8D8D32ED3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0.40039</cdr:x>
      <cdr:y>0.43069</cdr:y>
    </cdr:from>
    <cdr:to>
      <cdr:x>0.5918</cdr:x>
      <cdr:y>0.52475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172CD90-8F8F-171A-D541-546EB767042E}"/>
            </a:ext>
          </a:extLst>
        </cdr:cNvPr>
        <cdr:cNvSpPr txBox="1"/>
      </cdr:nvSpPr>
      <cdr:spPr>
        <a:xfrm xmlns:a="http://schemas.openxmlformats.org/drawingml/2006/main">
          <a:off x="1952625" y="1657351"/>
          <a:ext cx="9334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t-BR" sz="2400" b="1" kern="1200">
              <a:solidFill>
                <a:schemeClr val="bg1"/>
              </a:solidFill>
            </a:rPr>
            <a:t>295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202405</xdr:colOff>
      <xdr:row>25</xdr:row>
      <xdr:rowOff>59530</xdr:rowOff>
    </xdr:from>
    <xdr:to>
      <xdr:col>14</xdr:col>
      <xdr:colOff>595312</xdr:colOff>
      <xdr:row>56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B58EB-1B03-48A6-AC9A-5D0AD2BC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250031</xdr:colOff>
      <xdr:row>23</xdr:row>
      <xdr:rowOff>26788</xdr:rowOff>
    </xdr:from>
    <xdr:to>
      <xdr:col>11</xdr:col>
      <xdr:colOff>382095</xdr:colOff>
      <xdr:row>25</xdr:row>
      <xdr:rowOff>74415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731E013-0075-4890-9A50-80AAF069DBC7}"/>
            </a:ext>
          </a:extLst>
        </xdr:cNvPr>
        <xdr:cNvSpPr txBox="1"/>
      </xdr:nvSpPr>
      <xdr:spPr>
        <a:xfrm>
          <a:off x="5265539" y="4566046"/>
          <a:ext cx="3793236" cy="434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400" b="1">
              <a:solidFill>
                <a:srgbClr val="9BC84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MARKET SHARE POR PLANO</a:t>
          </a:r>
        </a:p>
      </xdr:txBody>
    </xdr:sp>
    <xdr:clientData/>
  </xdr:twoCellAnchor>
  <xdr:twoCellAnchor>
    <xdr:from>
      <xdr:col>19</xdr:col>
      <xdr:colOff>372071</xdr:colOff>
      <xdr:row>26</xdr:row>
      <xdr:rowOff>60238</xdr:rowOff>
    </xdr:from>
    <xdr:to>
      <xdr:col>35</xdr:col>
      <xdr:colOff>208360</xdr:colOff>
      <xdr:row>53</xdr:row>
      <xdr:rowOff>59531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085F6B-3406-48A8-9412-A2B2BFDB6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14885</xdr:colOff>
      <xdr:row>7</xdr:row>
      <xdr:rowOff>352934</xdr:rowOff>
    </xdr:from>
    <xdr:to>
      <xdr:col>8</xdr:col>
      <xdr:colOff>169666</xdr:colOff>
      <xdr:row>19</xdr:row>
      <xdr:rowOff>167537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16A670F-B164-F767-1460-C9B918AEA172}"/>
            </a:ext>
          </a:extLst>
        </xdr:cNvPr>
        <xdr:cNvSpPr/>
      </xdr:nvSpPr>
      <xdr:spPr>
        <a:xfrm>
          <a:off x="3199807" y="1573325"/>
          <a:ext cx="3205757" cy="2359564"/>
        </a:xfrm>
        <a:prstGeom prst="roundRect">
          <a:avLst/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490425</xdr:colOff>
      <xdr:row>8</xdr:row>
      <xdr:rowOff>34019</xdr:rowOff>
    </xdr:from>
    <xdr:to>
      <xdr:col>15</xdr:col>
      <xdr:colOff>578869</xdr:colOff>
      <xdr:row>19</xdr:row>
      <xdr:rowOff>74414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D6A41A03-2424-4FF7-816C-B9E98A654B74}"/>
            </a:ext>
          </a:extLst>
        </xdr:cNvPr>
        <xdr:cNvSpPr/>
      </xdr:nvSpPr>
      <xdr:spPr>
        <a:xfrm>
          <a:off x="7336519" y="1671128"/>
          <a:ext cx="3571022" cy="2168638"/>
        </a:xfrm>
        <a:prstGeom prst="roundRect">
          <a:avLst/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342221</xdr:colOff>
      <xdr:row>8</xdr:row>
      <xdr:rowOff>56698</xdr:rowOff>
    </xdr:from>
    <xdr:to>
      <xdr:col>22</xdr:col>
      <xdr:colOff>346983</xdr:colOff>
      <xdr:row>19</xdr:row>
      <xdr:rowOff>22678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F78A6AD-E117-4E72-87A3-CF1D563F0533}"/>
            </a:ext>
          </a:extLst>
        </xdr:cNvPr>
        <xdr:cNvSpPr/>
      </xdr:nvSpPr>
      <xdr:spPr>
        <a:xfrm>
          <a:off x="11035167" y="1621519"/>
          <a:ext cx="3066370" cy="2086427"/>
        </a:xfrm>
        <a:prstGeom prst="roundRect">
          <a:avLst/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339471</xdr:colOff>
      <xdr:row>12</xdr:row>
      <xdr:rowOff>148405</xdr:rowOff>
    </xdr:from>
    <xdr:to>
      <xdr:col>7</xdr:col>
      <xdr:colOff>163711</xdr:colOff>
      <xdr:row>18</xdr:row>
      <xdr:rowOff>133946</xdr:rowOff>
    </xdr:to>
    <xdr:sp macro="" textlink="Cálculos!$D$9">
      <xdr:nvSpPr>
        <xdr:cNvPr id="10" name="CaixaDeTexto 9">
          <a:extLst>
            <a:ext uri="{FF2B5EF4-FFF2-40B4-BE49-F238E27FC236}">
              <a16:creationId xmlns:a16="http://schemas.microsoft.com/office/drawing/2014/main" id="{B40D3263-D278-D333-4B19-8870B2803403}"/>
            </a:ext>
          </a:extLst>
        </xdr:cNvPr>
        <xdr:cNvSpPr txBox="1"/>
      </xdr:nvSpPr>
      <xdr:spPr>
        <a:xfrm>
          <a:off x="3524393" y="2559421"/>
          <a:ext cx="2265021" cy="1146400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98B5966-DD1F-49F7-8996-0ABE007210A0}" type="TxLink">
            <a:rPr lang="en-US" sz="3200" b="1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R$ 7.633,00 </a:t>
          </a:fld>
          <a:endParaRPr lang="pt-BR" sz="32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16443</xdr:colOff>
      <xdr:row>12</xdr:row>
      <xdr:rowOff>65766</xdr:rowOff>
    </xdr:from>
    <xdr:to>
      <xdr:col>14</xdr:col>
      <xdr:colOff>421255</xdr:colOff>
      <xdr:row>17</xdr:row>
      <xdr:rowOff>101486</xdr:rowOff>
    </xdr:to>
    <xdr:sp macro="" textlink="Cálculos!$F$9">
      <xdr:nvSpPr>
        <xdr:cNvPr id="11" name="CaixaDeTexto 10">
          <a:extLst>
            <a:ext uri="{FF2B5EF4-FFF2-40B4-BE49-F238E27FC236}">
              <a16:creationId xmlns:a16="http://schemas.microsoft.com/office/drawing/2014/main" id="{883F456D-1C1D-FFA5-ED6C-982A78D5666E}"/>
            </a:ext>
          </a:extLst>
        </xdr:cNvPr>
        <xdr:cNvSpPr txBox="1"/>
      </xdr:nvSpPr>
      <xdr:spPr>
        <a:xfrm>
          <a:off x="8082927" y="2476782"/>
          <a:ext cx="2056805" cy="1003102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0D283F9-53E3-4C64-B614-F831AF8D8572}" type="TxLink">
            <a:rPr lang="en-US" sz="3200" b="1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295</a:t>
          </a:fld>
          <a:endParaRPr lang="pt-BR" sz="96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18</xdr:col>
      <xdr:colOff>316650</xdr:colOff>
      <xdr:row>12</xdr:row>
      <xdr:rowOff>33876</xdr:rowOff>
    </xdr:from>
    <xdr:to>
      <xdr:col>21</xdr:col>
      <xdr:colOff>280932</xdr:colOff>
      <xdr:row>17</xdr:row>
      <xdr:rowOff>179728</xdr:rowOff>
    </xdr:to>
    <xdr:sp macro="" textlink="Cálculos!$H$9">
      <xdr:nvSpPr>
        <xdr:cNvPr id="12" name="CaixaDeTexto 11">
          <a:extLst>
            <a:ext uri="{FF2B5EF4-FFF2-40B4-BE49-F238E27FC236}">
              <a16:creationId xmlns:a16="http://schemas.microsoft.com/office/drawing/2014/main" id="{3F37A0D2-D5B2-54B1-AAB4-1C172A3B15F1}"/>
            </a:ext>
          </a:extLst>
        </xdr:cNvPr>
        <xdr:cNvSpPr txBox="1"/>
      </xdr:nvSpPr>
      <xdr:spPr>
        <a:xfrm>
          <a:off x="12475908" y="2444892"/>
          <a:ext cx="1794868" cy="1113234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0A247A4-1D74-4BB2-B86B-C1F9F08E7017}" type="TxLink">
            <a:rPr lang="en-US" sz="3200" b="1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R$ 25,87 </a:t>
          </a:fld>
          <a:endParaRPr lang="pt-BR" sz="96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21</xdr:col>
      <xdr:colOff>479935</xdr:colOff>
      <xdr:row>23</xdr:row>
      <xdr:rowOff>38129</xdr:rowOff>
    </xdr:from>
    <xdr:to>
      <xdr:col>31</xdr:col>
      <xdr:colOff>563277</xdr:colOff>
      <xdr:row>25</xdr:row>
      <xdr:rowOff>61941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FCFEDC37-972D-9EE1-4644-1D2CA392ECC6}"/>
            </a:ext>
          </a:extLst>
        </xdr:cNvPr>
        <xdr:cNvSpPr txBox="1"/>
      </xdr:nvSpPr>
      <xdr:spPr>
        <a:xfrm>
          <a:off x="14261419" y="4488090"/>
          <a:ext cx="6185296" cy="41076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t-BR" sz="2400" b="1">
              <a:solidFill>
                <a:srgbClr val="9BC84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VISÃO GERAL DE RENTABILIDADE</a:t>
          </a:r>
        </a:p>
      </xdr:txBody>
    </xdr:sp>
    <xdr:clientData/>
  </xdr:twoCellAnchor>
  <xdr:twoCellAnchor editAs="oneCell">
    <xdr:from>
      <xdr:col>1</xdr:col>
      <xdr:colOff>74415</xdr:colOff>
      <xdr:row>0</xdr:row>
      <xdr:rowOff>101203</xdr:rowOff>
    </xdr:from>
    <xdr:to>
      <xdr:col>6</xdr:col>
      <xdr:colOff>29767</xdr:colOff>
      <xdr:row>3</xdr:row>
      <xdr:rowOff>77392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36B5D352-FBD1-4EA5-8ADF-A137BA31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1017" y="101203"/>
          <a:ext cx="2634258" cy="764978"/>
        </a:xfrm>
        <a:prstGeom prst="rect">
          <a:avLst/>
        </a:prstGeom>
      </xdr:spPr>
    </xdr:pic>
    <xdr:clientData/>
  </xdr:twoCellAnchor>
  <xdr:twoCellAnchor>
    <xdr:from>
      <xdr:col>0</xdr:col>
      <xdr:colOff>392906</xdr:colOff>
      <xdr:row>0</xdr:row>
      <xdr:rowOff>130968</xdr:rowOff>
    </xdr:from>
    <xdr:to>
      <xdr:col>0</xdr:col>
      <xdr:colOff>1088231</xdr:colOff>
      <xdr:row>3</xdr:row>
      <xdr:rowOff>28574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4035F4C2-C076-4386-9C36-A12529BA5EB4}"/>
            </a:ext>
          </a:extLst>
        </xdr:cNvPr>
        <xdr:cNvSpPr/>
      </xdr:nvSpPr>
      <xdr:spPr>
        <a:xfrm>
          <a:off x="392906" y="130968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178593</xdr:colOff>
      <xdr:row>5</xdr:row>
      <xdr:rowOff>119061</xdr:rowOff>
    </xdr:from>
    <xdr:to>
      <xdr:col>0</xdr:col>
      <xdr:colOff>1890116</xdr:colOff>
      <xdr:row>7</xdr:row>
      <xdr:rowOff>154780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D37579A4-F0BF-7225-C8AE-A3CFF21C3044}"/>
            </a:ext>
          </a:extLst>
        </xdr:cNvPr>
        <xdr:cNvSpPr txBox="1"/>
      </xdr:nvSpPr>
      <xdr:spPr>
        <a:xfrm>
          <a:off x="178593" y="997147"/>
          <a:ext cx="1711523" cy="288727"/>
        </a:xfrm>
        <a:prstGeom prst="rect">
          <a:avLst/>
        </a:prstGeom>
        <a:solidFill>
          <a:srgbClr val="22C55E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>
              <a:solidFill>
                <a:schemeClr val="bg1"/>
              </a:solidFill>
            </a:rPr>
            <a:t>&gt; Olá,</a:t>
          </a:r>
          <a:r>
            <a:rPr lang="pt-BR" sz="1800" b="1" baseline="0">
              <a:solidFill>
                <a:schemeClr val="bg1"/>
              </a:solidFill>
            </a:rPr>
            <a:t> Anna!</a:t>
          </a:r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534567</xdr:colOff>
      <xdr:row>0</xdr:row>
      <xdr:rowOff>34018</xdr:rowOff>
    </xdr:from>
    <xdr:to>
      <xdr:col>28</xdr:col>
      <xdr:colOff>555625</xdr:colOff>
      <xdr:row>3</xdr:row>
      <xdr:rowOff>45357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9C36786B-16E7-53FB-EF32-D55B44258901}"/>
            </a:ext>
          </a:extLst>
        </xdr:cNvPr>
        <xdr:cNvSpPr/>
      </xdr:nvSpPr>
      <xdr:spPr>
        <a:xfrm>
          <a:off x="4052985" y="34018"/>
          <a:ext cx="13929502" cy="808329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589644</xdr:colOff>
      <xdr:row>7</xdr:row>
      <xdr:rowOff>1</xdr:rowOff>
    </xdr:from>
    <xdr:to>
      <xdr:col>8</xdr:col>
      <xdr:colOff>170088</xdr:colOff>
      <xdr:row>10</xdr:row>
      <xdr:rowOff>22680</xdr:rowOff>
    </xdr:to>
    <xdr:sp macro="" textlink="">
      <xdr:nvSpPr>
        <xdr:cNvPr id="23" name="Retângulo: Cantos Superiores Recortados 22">
          <a:extLst>
            <a:ext uri="{FF2B5EF4-FFF2-40B4-BE49-F238E27FC236}">
              <a16:creationId xmlns:a16="http://schemas.microsoft.com/office/drawing/2014/main" id="{979F6A4B-9E5A-BDD6-D5AE-FF700EBF1A5E}"/>
            </a:ext>
          </a:extLst>
        </xdr:cNvPr>
        <xdr:cNvSpPr/>
      </xdr:nvSpPr>
      <xdr:spPr>
        <a:xfrm>
          <a:off x="3164371" y="1131095"/>
          <a:ext cx="3241615" cy="826351"/>
        </a:xfrm>
        <a:prstGeom prst="snip2Same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215446</xdr:colOff>
      <xdr:row>7</xdr:row>
      <xdr:rowOff>147411</xdr:rowOff>
    </xdr:from>
    <xdr:to>
      <xdr:col>7</xdr:col>
      <xdr:colOff>453572</xdr:colOff>
      <xdr:row>8</xdr:row>
      <xdr:rowOff>158751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E30BA43-0A61-F8D5-5636-814D9432F01C}"/>
            </a:ext>
          </a:extLst>
        </xdr:cNvPr>
        <xdr:cNvSpPr txBox="1"/>
      </xdr:nvSpPr>
      <xdr:spPr>
        <a:xfrm>
          <a:off x="2505982" y="1292679"/>
          <a:ext cx="2687411" cy="430893"/>
        </a:xfrm>
        <a:prstGeom prst="rect">
          <a:avLst/>
        </a:prstGeom>
        <a:solidFill>
          <a:srgbClr val="9BC84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2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RECEITA</a:t>
          </a:r>
          <a:r>
            <a:rPr lang="pt-BR" sz="2200" b="1" baseline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TOTAL</a:t>
          </a:r>
          <a:endParaRPr lang="pt-BR" sz="22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487590</xdr:colOff>
      <xdr:row>7</xdr:row>
      <xdr:rowOff>2</xdr:rowOff>
    </xdr:from>
    <xdr:to>
      <xdr:col>15</xdr:col>
      <xdr:colOff>578303</xdr:colOff>
      <xdr:row>10</xdr:row>
      <xdr:rowOff>34020</xdr:rowOff>
    </xdr:to>
    <xdr:sp macro="" textlink="">
      <xdr:nvSpPr>
        <xdr:cNvPr id="25" name="Retângulo: Cantos Superiores Recortados 24">
          <a:extLst>
            <a:ext uri="{FF2B5EF4-FFF2-40B4-BE49-F238E27FC236}">
              <a16:creationId xmlns:a16="http://schemas.microsoft.com/office/drawing/2014/main" id="{53C4A0B1-69CD-48FF-307A-FDF186BB2333}"/>
            </a:ext>
          </a:extLst>
        </xdr:cNvPr>
        <xdr:cNvSpPr/>
      </xdr:nvSpPr>
      <xdr:spPr>
        <a:xfrm>
          <a:off x="6452054" y="1145270"/>
          <a:ext cx="3594553" cy="839107"/>
        </a:xfrm>
        <a:prstGeom prst="snip2Same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215446</xdr:colOff>
      <xdr:row>7</xdr:row>
      <xdr:rowOff>226787</xdr:rowOff>
    </xdr:from>
    <xdr:to>
      <xdr:col>15</xdr:col>
      <xdr:colOff>215446</xdr:colOff>
      <xdr:row>9</xdr:row>
      <xdr:rowOff>1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BF244FE-8C60-DDDC-045C-9E93E2C101E6}"/>
            </a:ext>
          </a:extLst>
        </xdr:cNvPr>
        <xdr:cNvSpPr txBox="1"/>
      </xdr:nvSpPr>
      <xdr:spPr>
        <a:xfrm>
          <a:off x="6724196" y="1369787"/>
          <a:ext cx="2857500" cy="376464"/>
        </a:xfrm>
        <a:prstGeom prst="rect">
          <a:avLst/>
        </a:prstGeom>
        <a:solidFill>
          <a:srgbClr val="9BC84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t-BR" sz="22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DE ASSINANTES</a:t>
          </a:r>
        </a:p>
      </xdr:txBody>
    </xdr:sp>
    <xdr:clientData/>
  </xdr:twoCellAnchor>
  <xdr:twoCellAnchor>
    <xdr:from>
      <xdr:col>17</xdr:col>
      <xdr:colOff>345171</xdr:colOff>
      <xdr:row>6</xdr:row>
      <xdr:rowOff>95250</xdr:rowOff>
    </xdr:from>
    <xdr:to>
      <xdr:col>22</xdr:col>
      <xdr:colOff>351519</xdr:colOff>
      <xdr:row>10</xdr:row>
      <xdr:rowOff>95707</xdr:rowOff>
    </xdr:to>
    <xdr:sp macro="" textlink="">
      <xdr:nvSpPr>
        <xdr:cNvPr id="27" name="Retângulo: Cantos Superiores Recortados 26">
          <a:extLst>
            <a:ext uri="{FF2B5EF4-FFF2-40B4-BE49-F238E27FC236}">
              <a16:creationId xmlns:a16="http://schemas.microsoft.com/office/drawing/2014/main" id="{C78D7E09-2674-4284-9717-E9C94EF3EB6F}"/>
            </a:ext>
          </a:extLst>
        </xdr:cNvPr>
        <xdr:cNvSpPr/>
      </xdr:nvSpPr>
      <xdr:spPr>
        <a:xfrm>
          <a:off x="10917921" y="1111250"/>
          <a:ext cx="3022598" cy="921207"/>
        </a:xfrm>
        <a:prstGeom prst="snip2Same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27214</xdr:colOff>
      <xdr:row>6</xdr:row>
      <xdr:rowOff>111125</xdr:rowOff>
    </xdr:from>
    <xdr:to>
      <xdr:col>22</xdr:col>
      <xdr:colOff>129267</xdr:colOff>
      <xdr:row>10</xdr:row>
      <xdr:rowOff>27214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9F88922-6750-A6B5-7A8E-B2C7534265F8}"/>
            </a:ext>
          </a:extLst>
        </xdr:cNvPr>
        <xdr:cNvSpPr txBox="1"/>
      </xdr:nvSpPr>
      <xdr:spPr>
        <a:xfrm>
          <a:off x="11203214" y="1127125"/>
          <a:ext cx="2515053" cy="836839"/>
        </a:xfrm>
        <a:prstGeom prst="rect">
          <a:avLst/>
        </a:prstGeom>
        <a:solidFill>
          <a:srgbClr val="9BC84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t-BR" sz="22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TICKET MÉDIO</a:t>
          </a:r>
        </a:p>
        <a:p>
          <a:pPr marL="0" indent="0" algn="ctr"/>
          <a:r>
            <a:rPr lang="pt-BR" sz="22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GLOBAL</a:t>
          </a:r>
        </a:p>
      </xdr:txBody>
    </xdr:sp>
    <xdr:clientData/>
  </xdr:twoCellAnchor>
  <xdr:twoCellAnchor>
    <xdr:from>
      <xdr:col>23</xdr:col>
      <xdr:colOff>290287</xdr:colOff>
      <xdr:row>7</xdr:row>
      <xdr:rowOff>253999</xdr:rowOff>
    </xdr:from>
    <xdr:to>
      <xdr:col>28</xdr:col>
      <xdr:colOff>445068</xdr:colOff>
      <xdr:row>19</xdr:row>
      <xdr:rowOff>68602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B1553905-BD3B-4F20-ACD5-8F3007CE0C9C}"/>
            </a:ext>
          </a:extLst>
        </xdr:cNvPr>
        <xdr:cNvSpPr/>
      </xdr:nvSpPr>
      <xdr:spPr>
        <a:xfrm>
          <a:off x="14482537" y="1396999"/>
          <a:ext cx="3171031" cy="2322853"/>
        </a:xfrm>
        <a:prstGeom prst="roundRect">
          <a:avLst/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267608</xdr:colOff>
      <xdr:row>6</xdr:row>
      <xdr:rowOff>65769</xdr:rowOff>
    </xdr:from>
    <xdr:to>
      <xdr:col>28</xdr:col>
      <xdr:colOff>451302</xdr:colOff>
      <xdr:row>9</xdr:row>
      <xdr:rowOff>151948</xdr:rowOff>
    </xdr:to>
    <xdr:sp macro="" textlink="">
      <xdr:nvSpPr>
        <xdr:cNvPr id="30" name="Retângulo: Cantos Superiores Recortados 29">
          <a:extLst>
            <a:ext uri="{FF2B5EF4-FFF2-40B4-BE49-F238E27FC236}">
              <a16:creationId xmlns:a16="http://schemas.microsoft.com/office/drawing/2014/main" id="{67A58D35-65BF-4F31-93D5-6099F9554325}"/>
            </a:ext>
          </a:extLst>
        </xdr:cNvPr>
        <xdr:cNvSpPr/>
      </xdr:nvSpPr>
      <xdr:spPr>
        <a:xfrm>
          <a:off x="14459858" y="1081769"/>
          <a:ext cx="3199944" cy="816429"/>
        </a:xfrm>
        <a:prstGeom prst="snip2Same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508000</xdr:colOff>
      <xdr:row>7</xdr:row>
      <xdr:rowOff>174625</xdr:rowOff>
    </xdr:from>
    <xdr:to>
      <xdr:col>28</xdr:col>
      <xdr:colOff>301625</xdr:colOff>
      <xdr:row>9</xdr:row>
      <xdr:rowOff>127000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F23C20B-F5DC-5136-30CC-606EA64483F4}"/>
            </a:ext>
          </a:extLst>
        </xdr:cNvPr>
        <xdr:cNvSpPr txBox="1"/>
      </xdr:nvSpPr>
      <xdr:spPr>
        <a:xfrm>
          <a:off x="14700250" y="1317625"/>
          <a:ext cx="2809875" cy="555625"/>
        </a:xfrm>
        <a:prstGeom prst="rect">
          <a:avLst/>
        </a:prstGeom>
        <a:solidFill>
          <a:srgbClr val="9BC84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2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TAXA DE RENOVAÇÁO</a:t>
          </a:r>
        </a:p>
      </xdr:txBody>
    </xdr:sp>
    <xdr:clientData/>
  </xdr:twoCellAnchor>
  <xdr:twoCellAnchor>
    <xdr:from>
      <xdr:col>24</xdr:col>
      <xdr:colOff>280789</xdr:colOff>
      <xdr:row>12</xdr:row>
      <xdr:rowOff>46632</xdr:rowOff>
    </xdr:from>
    <xdr:to>
      <xdr:col>27</xdr:col>
      <xdr:colOff>582414</xdr:colOff>
      <xdr:row>16</xdr:row>
      <xdr:rowOff>173632</xdr:rowOff>
    </xdr:to>
    <xdr:sp macro="" textlink="Cálculos!$M$8">
      <xdr:nvSpPr>
        <xdr:cNvPr id="32" name="CaixaDeTexto 31">
          <a:extLst>
            <a:ext uri="{FF2B5EF4-FFF2-40B4-BE49-F238E27FC236}">
              <a16:creationId xmlns:a16="http://schemas.microsoft.com/office/drawing/2014/main" id="{C13FB06A-689D-303B-5A99-31A0E270E88A}"/>
            </a:ext>
          </a:extLst>
        </xdr:cNvPr>
        <xdr:cNvSpPr txBox="1"/>
      </xdr:nvSpPr>
      <xdr:spPr>
        <a:xfrm>
          <a:off x="16101219" y="2457648"/>
          <a:ext cx="2132211" cy="900906"/>
        </a:xfrm>
        <a:prstGeom prst="rect">
          <a:avLst/>
        </a:prstGeom>
        <a:solidFill>
          <a:srgbClr val="22C55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EDC26C8-3C51-4DC0-97B0-B4BD8C1883EB}" type="TxLink">
            <a:rPr lang="en-US" sz="3200" b="1" i="0" u="none" strike="noStrike">
              <a:solidFill>
                <a:schemeClr val="bg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50,17%</a:t>
          </a:fld>
          <a:endParaRPr lang="pt-BR" sz="3200" b="1" i="0" u="none" strike="noStrike">
            <a:solidFill>
              <a:schemeClr val="bg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2931914</xdr:colOff>
      <xdr:row>32</xdr:row>
      <xdr:rowOff>163711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Auto Renewal">
              <a:extLst>
                <a:ext uri="{FF2B5EF4-FFF2-40B4-BE49-F238E27FC236}">
                  <a16:creationId xmlns:a16="http://schemas.microsoft.com/office/drawing/2014/main" id="{6F7E5B46-9CD3-4A04-AEB8-892DF8A473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39258"/>
              <a:ext cx="2931914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267891</xdr:rowOff>
    </xdr:from>
    <xdr:to>
      <xdr:col>0</xdr:col>
      <xdr:colOff>2931914</xdr:colOff>
      <xdr:row>20</xdr:row>
      <xdr:rowOff>148828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Subscription Type">
              <a:extLst>
                <a:ext uri="{FF2B5EF4-FFF2-40B4-BE49-F238E27FC236}">
                  <a16:creationId xmlns:a16="http://schemas.microsoft.com/office/drawing/2014/main" id="{466B3B4C-53B9-4EBD-87E1-61670634ED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8282"/>
              <a:ext cx="2931914" cy="2619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550665</xdr:colOff>
      <xdr:row>0</xdr:row>
      <xdr:rowOff>178595</xdr:rowOff>
    </xdr:from>
    <xdr:to>
      <xdr:col>27</xdr:col>
      <xdr:colOff>386952</xdr:colOff>
      <xdr:row>2</xdr:row>
      <xdr:rowOff>74415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DDE05209-2DAE-A369-5F85-104BF81DAD38}"/>
            </a:ext>
          </a:extLst>
        </xdr:cNvPr>
        <xdr:cNvSpPr txBox="1"/>
      </xdr:nvSpPr>
      <xdr:spPr>
        <a:xfrm>
          <a:off x="3735587" y="178595"/>
          <a:ext cx="14302381" cy="580429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3600" b="1">
              <a:solidFill>
                <a:srgbClr val="00B050"/>
              </a:solidFill>
            </a:rPr>
            <a:t>XBOX GAME PASS | PERFORMANCE EXECUTIVE DASHBOARD</a:t>
          </a:r>
          <a:endParaRPr lang="pt-BR" sz="3600" b="1">
            <a:solidFill>
              <a:srgbClr val="00B05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119061</xdr:colOff>
      <xdr:row>0</xdr:row>
      <xdr:rowOff>74414</xdr:rowOff>
    </xdr:from>
    <xdr:to>
      <xdr:col>5</xdr:col>
      <xdr:colOff>595311</xdr:colOff>
      <xdr:row>3</xdr:row>
      <xdr:rowOff>59531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234ECB63-BC37-FC77-6B64-9B48E06B83B2}"/>
            </a:ext>
          </a:extLst>
        </xdr:cNvPr>
        <xdr:cNvSpPr/>
      </xdr:nvSpPr>
      <xdr:spPr>
        <a:xfrm>
          <a:off x="3303983" y="74414"/>
          <a:ext cx="1696641" cy="77390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25</xdr:col>
      <xdr:colOff>267891</xdr:colOff>
      <xdr:row>4</xdr:row>
      <xdr:rowOff>29766</xdr:rowOff>
    </xdr:to>
    <xdr:cxnSp macro="">
      <xdr:nvCxnSpPr>
        <xdr:cNvPr id="38" name="Conector reto 37">
          <a:extLst>
            <a:ext uri="{FF2B5EF4-FFF2-40B4-BE49-F238E27FC236}">
              <a16:creationId xmlns:a16="http://schemas.microsoft.com/office/drawing/2014/main" id="{53CA53EE-3518-B765-2950-819BCDFDB379}"/>
            </a:ext>
          </a:extLst>
        </xdr:cNvPr>
        <xdr:cNvCxnSpPr/>
      </xdr:nvCxnSpPr>
      <xdr:spPr>
        <a:xfrm flipV="1">
          <a:off x="2336602" y="878086"/>
          <a:ext cx="14361914" cy="29766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0.40039</cdr:x>
      <cdr:y>0.43069</cdr:y>
    </cdr:from>
    <cdr:to>
      <cdr:x>0.5918</cdr:x>
      <cdr:y>0.52475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172CD90-8F8F-171A-D541-546EB767042E}"/>
            </a:ext>
          </a:extLst>
        </cdr:cNvPr>
        <cdr:cNvSpPr txBox="1"/>
      </cdr:nvSpPr>
      <cdr:spPr>
        <a:xfrm xmlns:a="http://schemas.openxmlformats.org/drawingml/2006/main">
          <a:off x="1952625" y="1657351"/>
          <a:ext cx="9334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t-BR" sz="2400" b="1" kern="1200">
              <a:solidFill>
                <a:schemeClr val="bg1"/>
              </a:solidFill>
            </a:rPr>
            <a:t>295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ktop" refreshedDate="46035.507666087964" createdVersion="8" refreshedVersion="8" minRefreshableVersion="3" recordCount="295" xr:uid="{87F7CB64-AE78-4D09-98C7-541D175CE2D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706961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848E1-4191-45D0-88F2-430050DEE08B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A24E0-9ED6-4993-9F4A-50327FC9418C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6" firstHeaderRow="1" firstDataRow="1" firstDataCol="1"/>
  <pivotFields count="13">
    <pivotField showAll="0"/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5345E-25B8-4FED-9420-F5B247F7A06F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1" rowHeaderCaption="PLANO">
  <location ref="A3:D7" firstHeaderRow="0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D DE ASSINANTES" fld="0" subtotal="count" baseField="2" baseItem="0"/>
    <dataField name="RECEITA TOTAL" fld="12" baseField="2" baseItem="0" numFmtId="44"/>
    <dataField name="TICKET MÉDIO" fld="12" subtotal="average" baseField="2" baseItem="0" numFmtId="44"/>
  </dataFields>
  <formats count="8">
    <format dxfId="177">
      <pivotArea field="2" type="button" dataOnly="0" labelOnly="1" outline="0" axis="axisRow" fieldPosition="0"/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D0C016A1-2F2A-4838-A842-A5DD773DBA7C}" sourceName="Auto Renewal">
  <pivotTables>
    <pivotTable tabId="5" name="Tabela dinâmica1"/>
    <pivotTable tabId="5" name="Tabela dinâmica3"/>
    <pivotTable tabId="6" name="Tabela dinâmica2"/>
  </pivotTables>
  <data>
    <tabular pivotCacheId="197069615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2EABBE7-C6A3-4230-90CB-31C5C603EFD6}" sourceName="Subscription Type">
  <pivotTables>
    <pivotTable tabId="5" name="Tabela dinâmica1"/>
    <pivotTable tabId="5" name="Tabela dinâmica3"/>
  </pivotTables>
  <data>
    <tabular pivotCacheId="197069615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5B1775CE-D675-4CAB-8871-B11EDB6EB9D9}" cache="SegmentaçãodeDados_Auto_Renewal" caption="Auto Renewal" style="SlicerStyleDark6" rowHeight="257175"/>
  <slicer name="Subscription Type" xr10:uid="{F981ED9F-E6A9-4BD6-B7D8-8940B42AF5F5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0">
  <autoFilter ref="A1:M296" xr:uid="{34E0E886-4200-4B36-97B3-63DB74FF40A0}">
    <filterColumn colId="4">
      <filters>
        <filter val="No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99"/>
    <tableColumn id="2" xr3:uid="{53DD39D0-2220-4121-9E9D-4EAA7E151C0F}" name="Name" dataDxfId="198"/>
    <tableColumn id="3" xr3:uid="{4F5FF271-4C57-4BE0-8F2C-F82C8551625C}" name="Plan" dataDxfId="197"/>
    <tableColumn id="4" xr3:uid="{8C17EB93-79B9-4E55-B8F7-BEB82F8253E9}" name="Start Date" dataDxfId="196"/>
    <tableColumn id="5" xr3:uid="{48CEDF9B-1689-482A-A828-5CCE7713264A}" name="Auto Renewal" dataDxfId="195"/>
    <tableColumn id="6" xr3:uid="{78B82374-9AA7-4E38-AE4F-78CDE6C83720}" name="Subscription Price" dataDxfId="194" dataCellStyle="Moeda"/>
    <tableColumn id="7" xr3:uid="{F2433F68-AF33-49D0-B1FB-19A396074EDE}" name="Subscription Type" dataDxfId="193"/>
    <tableColumn id="8" xr3:uid="{FD4D9C95-F6E5-4933-9068-A71FF7DF9343}" name="EA Play Season Pass" dataDxfId="192"/>
    <tableColumn id="13" xr3:uid="{978DD0D2-834E-4CE4-A39B-30976086932F}" name="EA Play Season Pass_x000a_Price" dataDxfId="191" dataCellStyle="Moeda"/>
    <tableColumn id="9" xr3:uid="{6E29F111-C395-4580-9DAD-3407D9E8B1A4}" name="Minecraft Season Pass" dataDxfId="190"/>
    <tableColumn id="10" xr3:uid="{EF544EAA-7F25-4FD5-A10E-8E62804DB9E3}" name="Minecraft Season Pass Price" dataDxfId="189" dataCellStyle="Moeda"/>
    <tableColumn id="11" xr3:uid="{7F6EB64A-1F07-4E48-9F0F-AC7D9DCD26F8}" name="Coupon Value" dataDxfId="188" dataCellStyle="Moeda"/>
    <tableColumn id="12" xr3:uid="{2B04ABC8-DE6F-426E-ADC0-D8AFC68CA58E}" name="Total Value" dataDxfId="18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25" sqref="G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82" zoomScaleNormal="82" workbookViewId="0">
      <selection activeCell="G25" sqref="G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5" max="15" width="9.14062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791A-B289-4B35-BFE5-65289AC7F241}">
  <sheetPr>
    <tabColor theme="3" tint="0.749992370372631"/>
  </sheetPr>
  <dimension ref="A3:D6"/>
  <sheetViews>
    <sheetView topLeftCell="L1" workbookViewId="0">
      <selection activeCell="G25" sqref="G25"/>
    </sheetView>
  </sheetViews>
  <sheetFormatPr defaultRowHeight="15" x14ac:dyDescent="0.25"/>
  <cols>
    <col min="1" max="1" width="18.42578125" bestFit="1" customWidth="1"/>
    <col min="2" max="2" width="26.28515625" bestFit="1" customWidth="1"/>
  </cols>
  <sheetData>
    <row r="3" spans="1:4" x14ac:dyDescent="0.25">
      <c r="A3" s="12" t="s">
        <v>313</v>
      </c>
      <c r="B3" t="s">
        <v>324</v>
      </c>
    </row>
    <row r="4" spans="1:4" x14ac:dyDescent="0.25">
      <c r="A4" s="13" t="s">
        <v>23</v>
      </c>
      <c r="B4" s="14">
        <v>147</v>
      </c>
      <c r="D4" s="27">
        <f>GETPIVOTDATA("Auto Renewal",$A$3,"Auto Renewal","No")/GETPIVOTDATA("Auto Renewal",$A$3)</f>
        <v>0.49830508474576274</v>
      </c>
    </row>
    <row r="5" spans="1:4" x14ac:dyDescent="0.25">
      <c r="A5" s="13" t="s">
        <v>19</v>
      </c>
      <c r="B5" s="14">
        <v>148</v>
      </c>
      <c r="D5" s="27">
        <f>GETPIVOTDATA("Auto Renewal",$A$3,"Auto Renewal","Yes")/GETPIVOTDATA("Auto Renewal",$A$3)</f>
        <v>0.50169491525423726</v>
      </c>
    </row>
    <row r="6" spans="1:4" x14ac:dyDescent="0.25">
      <c r="A6" s="13" t="s">
        <v>314</v>
      </c>
      <c r="B6" s="14">
        <v>295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DA1E-75D5-4310-9074-340DD7C942A6}">
  <sheetPr>
    <tabColor theme="3" tint="0.749992370372631"/>
  </sheetPr>
  <dimension ref="A1:N9"/>
  <sheetViews>
    <sheetView zoomScale="106" zoomScaleNormal="106" workbookViewId="0">
      <selection activeCell="M9" sqref="M9"/>
    </sheetView>
  </sheetViews>
  <sheetFormatPr defaultRowHeight="15" x14ac:dyDescent="0.25"/>
  <cols>
    <col min="1" max="1" width="11.7109375" bestFit="1" customWidth="1"/>
    <col min="2" max="2" width="19.85546875" bestFit="1" customWidth="1"/>
    <col min="3" max="3" width="14.85546875" style="17" bestFit="1" customWidth="1"/>
    <col min="4" max="4" width="14" style="17" bestFit="1" customWidth="1"/>
    <col min="6" max="6" width="11.85546875" customWidth="1"/>
    <col min="7" max="7" width="14.5703125" bestFit="1" customWidth="1"/>
    <col min="8" max="8" width="12.28515625" bestFit="1" customWidth="1"/>
    <col min="9" max="9" width="11.140625" bestFit="1" customWidth="1"/>
    <col min="11" max="11" width="18.42578125" bestFit="1" customWidth="1"/>
    <col min="12" max="12" width="26.28515625" bestFit="1" customWidth="1"/>
    <col min="14" max="14" width="8.5703125" bestFit="1" customWidth="1"/>
  </cols>
  <sheetData>
    <row r="1" spans="1:14" ht="18.75" customHeight="1" x14ac:dyDescent="0.25">
      <c r="A1" s="21" t="s">
        <v>319</v>
      </c>
      <c r="B1" s="20"/>
      <c r="C1" s="20"/>
      <c r="D1" s="20"/>
    </row>
    <row r="2" spans="1:14" ht="15.75" thickBot="1" x14ac:dyDescent="0.3">
      <c r="A2" s="20"/>
      <c r="B2" s="20"/>
      <c r="C2" s="20"/>
      <c r="D2" s="20"/>
    </row>
    <row r="3" spans="1:14" ht="23.25" customHeight="1" thickBot="1" x14ac:dyDescent="0.3">
      <c r="A3" s="16" t="s">
        <v>315</v>
      </c>
      <c r="B3" s="17" t="s">
        <v>316</v>
      </c>
      <c r="C3" s="17" t="s">
        <v>317</v>
      </c>
      <c r="D3" s="17" t="s">
        <v>318</v>
      </c>
      <c r="F3" s="22" t="s">
        <v>320</v>
      </c>
      <c r="G3" s="22" t="s">
        <v>321</v>
      </c>
      <c r="H3" s="22" t="s">
        <v>322</v>
      </c>
      <c r="I3" s="23" t="s">
        <v>323</v>
      </c>
      <c r="K3" s="12" t="s">
        <v>313</v>
      </c>
      <c r="L3" t="s">
        <v>324</v>
      </c>
    </row>
    <row r="4" spans="1:14" ht="14.25" customHeight="1" thickBot="1" x14ac:dyDescent="0.3">
      <c r="A4" s="13" t="s">
        <v>22</v>
      </c>
      <c r="B4" s="18">
        <v>101</v>
      </c>
      <c r="C4" s="19">
        <v>444</v>
      </c>
      <c r="D4" s="19">
        <v>4.3960396039603964</v>
      </c>
      <c r="F4" s="22" t="s">
        <v>22</v>
      </c>
      <c r="G4" s="24">
        <f xml:space="preserve"> B4</f>
        <v>101</v>
      </c>
      <c r="H4" s="25">
        <f xml:space="preserve"> C4</f>
        <v>444</v>
      </c>
      <c r="I4" s="26">
        <f xml:space="preserve"> D4</f>
        <v>4.3960396039603964</v>
      </c>
      <c r="K4" s="13" t="s">
        <v>23</v>
      </c>
      <c r="L4" s="14">
        <v>147</v>
      </c>
      <c r="N4" s="27">
        <f>GETPIVOTDATA("Auto Renewal",$K$3,"Auto Renewal","No")/GETPIVOTDATA("Auto Renewal",$K$3)</f>
        <v>0.49830508474576274</v>
      </c>
    </row>
    <row r="5" spans="1:14" ht="15.75" thickBot="1" x14ac:dyDescent="0.3">
      <c r="A5" s="13" t="s">
        <v>26</v>
      </c>
      <c r="B5" s="18">
        <v>96</v>
      </c>
      <c r="C5" s="19">
        <v>1801</v>
      </c>
      <c r="D5" s="19">
        <v>18.760416666666668</v>
      </c>
      <c r="F5" s="22" t="s">
        <v>26</v>
      </c>
      <c r="G5" s="24">
        <f t="shared" ref="G5:G6" si="0" xml:space="preserve"> B5</f>
        <v>96</v>
      </c>
      <c r="H5" s="25">
        <f t="shared" ref="H5:H6" si="1" xml:space="preserve"> C5</f>
        <v>1801</v>
      </c>
      <c r="I5" s="26">
        <f t="shared" ref="I5:I6" si="2" xml:space="preserve"> D5</f>
        <v>18.760416666666668</v>
      </c>
      <c r="K5" s="13" t="s">
        <v>19</v>
      </c>
      <c r="L5" s="14">
        <v>148</v>
      </c>
      <c r="N5" s="27">
        <f>GETPIVOTDATA("Auto Renewal",$K$3,"Auto Renewal","Yes")/GETPIVOTDATA("Auto Renewal",$K$3)</f>
        <v>0.50169491525423726</v>
      </c>
    </row>
    <row r="6" spans="1:14" ht="18" customHeight="1" thickBot="1" x14ac:dyDescent="0.3">
      <c r="A6" s="13" t="s">
        <v>18</v>
      </c>
      <c r="B6" s="18">
        <v>98</v>
      </c>
      <c r="C6" s="19">
        <v>5388</v>
      </c>
      <c r="D6" s="19">
        <v>54.979591836734691</v>
      </c>
      <c r="F6" s="22" t="s">
        <v>18</v>
      </c>
      <c r="G6" s="24">
        <f t="shared" si="0"/>
        <v>98</v>
      </c>
      <c r="H6" s="25">
        <f t="shared" si="1"/>
        <v>5388</v>
      </c>
      <c r="I6" s="26">
        <f t="shared" si="2"/>
        <v>54.979591836734691</v>
      </c>
      <c r="K6" s="13" t="s">
        <v>314</v>
      </c>
      <c r="L6" s="14">
        <v>295</v>
      </c>
    </row>
    <row r="7" spans="1:14" x14ac:dyDescent="0.25">
      <c r="A7" s="13" t="s">
        <v>314</v>
      </c>
      <c r="B7" s="18">
        <v>295</v>
      </c>
      <c r="C7" s="19">
        <v>7633</v>
      </c>
      <c r="D7" s="19">
        <v>25.874576271186442</v>
      </c>
    </row>
    <row r="8" spans="1:14" x14ac:dyDescent="0.25">
      <c r="M8" s="27">
        <f xml:space="preserve"> N5</f>
        <v>0.50169491525423726</v>
      </c>
    </row>
    <row r="9" spans="1:14" x14ac:dyDescent="0.25">
      <c r="D9" s="19">
        <f xml:space="preserve"> C7</f>
        <v>7633</v>
      </c>
      <c r="F9">
        <f xml:space="preserve"> B7</f>
        <v>295</v>
      </c>
      <c r="H9" s="15">
        <f xml:space="preserve"> D7</f>
        <v>25.874576271186442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N150"/>
  <sheetViews>
    <sheetView showGridLines="0" showRowColHeaders="0" tabSelected="1" zoomScale="64" zoomScaleNormal="64" workbookViewId="0">
      <selection activeCell="M24" sqref="M24"/>
    </sheetView>
  </sheetViews>
  <sheetFormatPr defaultRowHeight="15" x14ac:dyDescent="0.25"/>
  <cols>
    <col min="1" max="1" width="44.140625" style="4" customWidth="1"/>
    <col min="2" max="2" width="3.5703125" customWidth="1"/>
    <col min="12" max="12" width="6.5703125" customWidth="1"/>
  </cols>
  <sheetData>
    <row r="2" spans="1:40" ht="39" customHeight="1" x14ac:dyDescent="0.25"/>
    <row r="3" spans="1:40" ht="8.25" customHeight="1" x14ac:dyDescent="0.25"/>
    <row r="4" spans="1:40" ht="7.5" customHeight="1" x14ac:dyDescent="0.25"/>
    <row r="5" spans="1:40" ht="7.5" customHeight="1" x14ac:dyDescent="0.25"/>
    <row r="6" spans="1:40" ht="10.5" customHeight="1" x14ac:dyDescent="0.25"/>
    <row r="7" spans="1:40" s="29" customFormat="1" ht="9.75" customHeight="1" x14ac:dyDescent="0.25">
      <c r="A7" s="28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</row>
    <row r="8" spans="1:40" s="29" customFormat="1" ht="33" customHeight="1" x14ac:dyDescent="0.25">
      <c r="A8" s="28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</row>
    <row r="9" spans="1:40" s="29" customFormat="1" x14ac:dyDescent="0.25">
      <c r="A9" s="28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</row>
    <row r="10" spans="1:40" s="29" customFormat="1" x14ac:dyDescent="0.25">
      <c r="A10" s="2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</row>
    <row r="11" spans="1:40" s="29" customFormat="1" x14ac:dyDescent="0.25">
      <c r="A11" s="28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</row>
    <row r="12" spans="1:40" s="29" customFormat="1" x14ac:dyDescent="0.25">
      <c r="A12" s="28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spans="1:40" s="29" customFormat="1" x14ac:dyDescent="0.25">
      <c r="A13" s="28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</row>
    <row r="14" spans="1:40" s="29" customFormat="1" x14ac:dyDescent="0.25">
      <c r="A14" s="28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</row>
    <row r="15" spans="1:40" s="29" customFormat="1" x14ac:dyDescent="0.25">
      <c r="A15" s="28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</row>
    <row r="16" spans="1:40" s="29" customFormat="1" x14ac:dyDescent="0.25">
      <c r="A16" s="28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</row>
    <row r="17" spans="1:40" s="29" customFormat="1" x14ac:dyDescent="0.25">
      <c r="A17" s="2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</row>
    <row r="18" spans="1:40" s="29" customFormat="1" x14ac:dyDescent="0.25">
      <c r="A18" s="2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</row>
    <row r="19" spans="1:40" s="29" customFormat="1" x14ac:dyDescent="0.25">
      <c r="A19" s="2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</row>
    <row r="20" spans="1:40" s="29" customFormat="1" x14ac:dyDescent="0.25">
      <c r="A20" s="2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</row>
    <row r="21" spans="1:40" s="29" customFormat="1" x14ac:dyDescent="0.25">
      <c r="A21" s="2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</row>
    <row r="22" spans="1:40" s="29" customFormat="1" x14ac:dyDescent="0.25">
      <c r="A22" s="2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spans="1:40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x14ac:dyDescent="0.25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x14ac:dyDescent="0.25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x14ac:dyDescent="0.25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2:40" x14ac:dyDescent="0.25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2:40" x14ac:dyDescent="0.25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2:40" x14ac:dyDescent="0.25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2:40" x14ac:dyDescent="0.25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2:40" x14ac:dyDescent="0.2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2:40" x14ac:dyDescent="0.25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2:40" x14ac:dyDescent="0.25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2:40" x14ac:dyDescent="0.25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2:40" x14ac:dyDescent="0.25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2:40" x14ac:dyDescent="0.25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2:40" x14ac:dyDescent="0.25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2:40" x14ac:dyDescent="0.25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2:40" x14ac:dyDescent="0.2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2:40" x14ac:dyDescent="0.25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2:40" x14ac:dyDescent="0.25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2:40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2:40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2:40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2:40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2:40" x14ac:dyDescent="0.25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2:40" x14ac:dyDescent="0.25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2:40" x14ac:dyDescent="0.25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2:40" x14ac:dyDescent="0.2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2:40" x14ac:dyDescent="0.25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2:40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2:40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2:40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2:40" x14ac:dyDescent="0.25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2:40" x14ac:dyDescent="0.25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2:40" x14ac:dyDescent="0.25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2:40" x14ac:dyDescent="0.25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2:40" x14ac:dyDescent="0.25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2:40" x14ac:dyDescent="0.2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2:40" x14ac:dyDescent="0.25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2:40" x14ac:dyDescent="0.25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2:40" x14ac:dyDescent="0.25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2:40" x14ac:dyDescent="0.25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2:40" x14ac:dyDescent="0.25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2:40" x14ac:dyDescent="0.25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2:40" x14ac:dyDescent="0.25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2:40" x14ac:dyDescent="0.25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2:40" x14ac:dyDescent="0.25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2:40" x14ac:dyDescent="0.2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2:40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2:40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2:40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2:40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2:40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2:40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2:40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2:40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2:40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2:40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2:40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2:40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2:40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2:40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2:40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2:40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2:40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2:40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2:40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2:40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2:40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2:40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2:40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2:40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2:40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2:40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2:40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2:40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2:40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2:40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2:40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2:40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2:40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2:40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2:40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2:40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2:40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2:40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2:40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2:40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2:40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2:40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2:40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2:40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2:40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2:40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2:40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2:40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2:40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2:40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2:40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2:40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2:40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2:40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2:40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2:40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2:40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2:40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2:40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2:40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2:40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2:40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2:40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2:40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2:40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2:40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2:40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2:40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2:40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2:40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2:40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2:40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2:40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2:40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2:40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</vt:vector>
  </HeadingPairs>
  <TitlesOfParts>
    <vt:vector size="6" baseType="lpstr">
      <vt:lpstr>A̳ssets</vt:lpstr>
      <vt:lpstr>B̳ases</vt:lpstr>
      <vt:lpstr>Planilha2</vt:lpstr>
      <vt:lpstr>Cálculos</vt:lpstr>
      <vt:lpstr>D̳ashboard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Osvaldo Pires</cp:lastModifiedBy>
  <dcterms:created xsi:type="dcterms:W3CDTF">2024-12-19T13:13:10Z</dcterms:created>
  <dcterms:modified xsi:type="dcterms:W3CDTF">2026-01-14T21:28:05Z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